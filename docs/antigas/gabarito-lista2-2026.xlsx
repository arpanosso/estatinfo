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statinfo\docs\antigas\"/>
    </mc:Choice>
  </mc:AlternateContent>
  <xr:revisionPtr revIDLastSave="0" documentId="13_ncr:1_{3C8F9FDB-6B47-4F72-8918-A2F22A6A3ACE}" xr6:coauthVersionLast="47" xr6:coauthVersionMax="47" xr10:uidLastSave="{00000000-0000-0000-0000-000000000000}"/>
  <bookViews>
    <workbookView xWindow="-108" yWindow="-108" windowWidth="23256" windowHeight="12456" activeTab="1" xr2:uid="{9D92C35A-0974-49BE-9EEE-0EC1FD730966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4" i="1"/>
  <c r="E13" i="1"/>
  <c r="C9" i="1"/>
  <c r="C3" i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3" i="1"/>
  <c r="F3" i="1" s="1"/>
  <c r="A4" i="1"/>
  <c r="B4" i="1" s="1"/>
  <c r="H9" i="1" l="1"/>
  <c r="H3" i="1"/>
  <c r="E10" i="1"/>
  <c r="G4" i="1"/>
  <c r="G5" i="1"/>
  <c r="G6" i="1"/>
  <c r="G7" i="1"/>
  <c r="G8" i="1"/>
  <c r="G9" i="1"/>
  <c r="G3" i="1"/>
  <c r="C4" i="1"/>
  <c r="A5" i="1"/>
  <c r="B5" i="1" s="1"/>
  <c r="H4" i="1" l="1"/>
  <c r="C5" i="1"/>
  <c r="A6" i="1"/>
  <c r="B6" i="1" s="1"/>
  <c r="H5" i="1" l="1"/>
  <c r="C6" i="1"/>
  <c r="A7" i="1"/>
  <c r="B7" i="1" s="1"/>
  <c r="H6" i="1" l="1"/>
  <c r="C7" i="1"/>
  <c r="A8" i="1"/>
  <c r="B8" i="1" s="1"/>
  <c r="C8" i="1" s="1"/>
  <c r="H7" i="1" l="1"/>
  <c r="H8" i="1"/>
  <c r="B12" i="1"/>
  <c r="B13" i="1" s="1"/>
  <c r="B14" i="1" l="1"/>
  <c r="B15" i="1" s="1"/>
  <c r="B16" i="1" s="1"/>
  <c r="B17" i="1" s="1"/>
</calcChain>
</file>

<file path=xl/sharedStrings.xml><?xml version="1.0" encoding="utf-8"?>
<sst xmlns="http://schemas.openxmlformats.org/spreadsheetml/2006/main" count="25" uniqueCount="24">
  <si>
    <t>Total</t>
  </si>
  <si>
    <t>ni</t>
  </si>
  <si>
    <t>fi</t>
  </si>
  <si>
    <t>pmc</t>
  </si>
  <si>
    <t>pmc²</t>
  </si>
  <si>
    <t>Soma</t>
  </si>
  <si>
    <t>Media</t>
  </si>
  <si>
    <t>SQD</t>
  </si>
  <si>
    <t>Fi</t>
  </si>
  <si>
    <t>Valor Aluguel</t>
  </si>
  <si>
    <t>di</t>
  </si>
  <si>
    <t>Variância</t>
  </si>
  <si>
    <t>Desvio Padrao</t>
  </si>
  <si>
    <t>CV</t>
  </si>
  <si>
    <t>Q1</t>
  </si>
  <si>
    <t>Q2</t>
  </si>
  <si>
    <t>Q3</t>
  </si>
  <si>
    <t>a)</t>
  </si>
  <si>
    <t>c)</t>
  </si>
  <si>
    <t xml:space="preserve">Como a média e a mediana são similares, a distribuição é simétrica, </t>
  </si>
  <si>
    <t>pode-se inferir que a porcentagem de iméveis abaixo do valor médio</t>
  </si>
  <si>
    <t>de locação é 50%</t>
  </si>
  <si>
    <r>
      <rPr>
        <b/>
        <sz val="9"/>
        <color theme="1"/>
        <rFont val="Aptos Narrow"/>
        <family val="2"/>
        <scheme val="minor"/>
      </rPr>
      <t xml:space="preserve">d) </t>
    </r>
    <r>
      <rPr>
        <sz val="9"/>
        <color theme="1"/>
        <rFont val="Aptos Narrow"/>
        <family val="2"/>
        <scheme val="minor"/>
      </rPr>
      <t xml:space="preserve">os preços dos imóveis </t>
    </r>
    <r>
      <rPr>
        <b/>
        <sz val="9"/>
        <color theme="1"/>
        <rFont val="Aptos Narrow"/>
        <family val="2"/>
        <scheme val="minor"/>
      </rPr>
      <t>não são homogêneos</t>
    </r>
    <r>
      <rPr>
        <sz val="9"/>
        <color theme="1"/>
        <rFont val="Aptos Narrow"/>
        <family val="2"/>
        <scheme val="minor"/>
      </rPr>
      <t xml:space="preserve"> em São Paulo.</t>
    </r>
  </si>
  <si>
    <r>
      <t xml:space="preserve">Há </t>
    </r>
    <r>
      <rPr>
        <b/>
        <sz val="9"/>
        <color theme="1"/>
        <rFont val="Aptos Narrow"/>
        <family val="2"/>
        <scheme val="minor"/>
      </rPr>
      <t>alta variabilidade</t>
    </r>
    <r>
      <rPr>
        <sz val="9"/>
        <color theme="1"/>
        <rFont val="Aptos Narrow"/>
        <family val="2"/>
        <scheme val="minor"/>
      </rPr>
      <t xml:space="preserve"> (mercado heterogêneo).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</si>
</sst>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Book Antiqua"/>
      <family val="1"/>
    </font>
    <font>
      <sz val="8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Planilha2!$B$1</c:f>
              <c:strCache>
                <c:ptCount val="1"/>
                <c:pt idx="0">
                  <c:v>di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Planilha2!$A$2:$A$8</c:f>
              <c:numCache>
                <c:formatCode>General</c:formatCode>
                <c:ptCount val="7"/>
                <c:pt idx="0">
                  <c:v>5</c:v>
                </c:pt>
                <c:pt idx="1">
                  <c:v>9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25</c:v>
                </c:pt>
                <c:pt idx="6">
                  <c:v>29</c:v>
                </c:pt>
              </c:numCache>
            </c:numRef>
          </c:cat>
          <c:val>
            <c:numRef>
              <c:f>Planilha2!$B$2:$B$8</c:f>
              <c:numCache>
                <c:formatCode>General</c:formatCode>
                <c:ptCount val="7"/>
                <c:pt idx="0">
                  <c:v>1.676829268292683E-2</c:v>
                </c:pt>
                <c:pt idx="1">
                  <c:v>2.6676829268292682E-2</c:v>
                </c:pt>
                <c:pt idx="2">
                  <c:v>3.9634146341463415E-2</c:v>
                </c:pt>
                <c:pt idx="3">
                  <c:v>6.4786585365853661E-2</c:v>
                </c:pt>
                <c:pt idx="4">
                  <c:v>4.801829268292683E-2</c:v>
                </c:pt>
                <c:pt idx="5">
                  <c:v>3.277439024390244E-2</c:v>
                </c:pt>
                <c:pt idx="6">
                  <c:v>2.1341463414634148E-2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C-4843-9D52-B71518ACF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241509616"/>
        <c:axId val="1241510096"/>
      </c:barChart>
      <c:catAx>
        <c:axId val="1241509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Valor</a:t>
                </a:r>
                <a:r>
                  <a:rPr lang="pt-BR" baseline="0"/>
                  <a:t> do aluguel (milhares de reais)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1510096"/>
        <c:crosses val="autoZero"/>
        <c:auto val="1"/>
        <c:lblAlgn val="ctr"/>
        <c:lblOffset val="100"/>
        <c:noMultiLvlLbl val="0"/>
      </c:catAx>
      <c:valAx>
        <c:axId val="124151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Densidade</a:t>
                </a:r>
                <a:r>
                  <a:rPr lang="pt-BR" baseline="0"/>
                  <a:t> de Frequêcnia (di)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150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267730</xdr:colOff>
      <xdr:row>1</xdr:row>
      <xdr:rowOff>18536</xdr:rowOff>
    </xdr:from>
    <xdr:to>
      <xdr:col>9</xdr:col>
      <xdr:colOff>572530</xdr:colOff>
      <xdr:row>16</xdr:row>
      <xdr:rowOff>43249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A661AE-3205-9DF1-AB1D-2C99DBA81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F350-EC10-42C7-9888-81D6349BAF92}">
  <dimension ref="A2:H19"/>
  <sheetViews>
    <sheetView zoomScale="172" zoomScaleNormal="172" workbookViewId="0">
      <selection activeCell="J11" sqref="J11"/>
    </sheetView>
  </sheetViews>
  <sheetFormatPr defaultRowHeight="14.4" x14ac:dyDescent="0.3"/>
  <cols>
    <col min="1" max="1" width="12.5546875" bestFit="1" customWidth="1"/>
  </cols>
  <sheetData>
    <row r="2" spans="1:8" x14ac:dyDescent="0.3">
      <c r="A2" s="6" t="s">
        <v>9</v>
      </c>
      <c r="B2" s="6"/>
      <c r="C2" s="7" t="s">
        <v>3</v>
      </c>
      <c r="D2" s="8" t="s">
        <v>1</v>
      </c>
      <c r="E2" s="7" t="s">
        <v>2</v>
      </c>
      <c r="F2" s="7" t="s">
        <v>10</v>
      </c>
      <c r="G2" s="7" t="s">
        <v>8</v>
      </c>
      <c r="H2" s="7" t="s">
        <v>4</v>
      </c>
    </row>
    <row r="3" spans="1:8" x14ac:dyDescent="0.3">
      <c r="A3" s="5">
        <v>3</v>
      </c>
      <c r="B3" s="5">
        <v>7</v>
      </c>
      <c r="C3">
        <f>(B3+A3)/2</f>
        <v>5</v>
      </c>
      <c r="D3" s="1">
        <v>22</v>
      </c>
      <c r="E3">
        <f>D3/$D$10</f>
        <v>6.7073170731707321E-2</v>
      </c>
      <c r="F3">
        <f>E3/4</f>
        <v>1.676829268292683E-2</v>
      </c>
      <c r="G3">
        <f>SUM($E$3:E3)</f>
        <v>6.7073170731707321E-2</v>
      </c>
      <c r="H3">
        <f>C3*C3</f>
        <v>25</v>
      </c>
    </row>
    <row r="4" spans="1:8" x14ac:dyDescent="0.3">
      <c r="A4" s="3">
        <f>B3</f>
        <v>7</v>
      </c>
      <c r="B4" s="3">
        <f>A4+4</f>
        <v>11</v>
      </c>
      <c r="C4">
        <f>(B4+A4)/2</f>
        <v>9</v>
      </c>
      <c r="D4" s="1">
        <v>35</v>
      </c>
      <c r="E4">
        <f t="shared" ref="E4:E9" si="0">D4/$D$10</f>
        <v>0.10670731707317073</v>
      </c>
      <c r="F4">
        <f>E4/4</f>
        <v>2.6676829268292682E-2</v>
      </c>
      <c r="G4">
        <f>SUM($E$3:E4)</f>
        <v>0.17378048780487804</v>
      </c>
      <c r="H4">
        <f>C4*C4</f>
        <v>81</v>
      </c>
    </row>
    <row r="5" spans="1:8" x14ac:dyDescent="0.3">
      <c r="A5" s="3">
        <f t="shared" ref="A5:A8" si="1">B4</f>
        <v>11</v>
      </c>
      <c r="B5" s="3">
        <f t="shared" ref="B5:B8" si="2">A5+4</f>
        <v>15</v>
      </c>
      <c r="C5">
        <f>(B5+A5)/2</f>
        <v>13</v>
      </c>
      <c r="D5" s="1">
        <v>52</v>
      </c>
      <c r="E5">
        <f t="shared" si="0"/>
        <v>0.15853658536585366</v>
      </c>
      <c r="F5">
        <f>E5/4</f>
        <v>3.9634146341463415E-2</v>
      </c>
      <c r="G5">
        <f>SUM($E$3:E5)</f>
        <v>0.33231707317073167</v>
      </c>
      <c r="H5">
        <f>C5*C5</f>
        <v>169</v>
      </c>
    </row>
    <row r="6" spans="1:8" x14ac:dyDescent="0.3">
      <c r="A6" s="3">
        <f t="shared" si="1"/>
        <v>15</v>
      </c>
      <c r="B6" s="3">
        <f t="shared" si="2"/>
        <v>19</v>
      </c>
      <c r="C6">
        <f>(B6+A6)/2</f>
        <v>17</v>
      </c>
      <c r="D6" s="1">
        <v>85</v>
      </c>
      <c r="E6">
        <f t="shared" si="0"/>
        <v>0.25914634146341464</v>
      </c>
      <c r="F6">
        <f>E6/4</f>
        <v>6.4786585365853661E-2</v>
      </c>
      <c r="G6">
        <f>SUM($E$3:E6)</f>
        <v>0.59146341463414631</v>
      </c>
      <c r="H6">
        <f>C6*C6</f>
        <v>289</v>
      </c>
    </row>
    <row r="7" spans="1:8" x14ac:dyDescent="0.3">
      <c r="A7" s="3">
        <f t="shared" si="1"/>
        <v>19</v>
      </c>
      <c r="B7" s="3">
        <f t="shared" si="2"/>
        <v>23</v>
      </c>
      <c r="C7">
        <f>(B7+A7)/2</f>
        <v>21</v>
      </c>
      <c r="D7" s="1">
        <v>63</v>
      </c>
      <c r="E7">
        <f t="shared" si="0"/>
        <v>0.19207317073170732</v>
      </c>
      <c r="F7">
        <f>E7/4</f>
        <v>4.801829268292683E-2</v>
      </c>
      <c r="G7">
        <f>SUM($E$3:E7)</f>
        <v>0.78353658536585358</v>
      </c>
      <c r="H7">
        <f>C7*C7</f>
        <v>441</v>
      </c>
    </row>
    <row r="8" spans="1:8" x14ac:dyDescent="0.3">
      <c r="A8" s="3">
        <f t="shared" si="1"/>
        <v>23</v>
      </c>
      <c r="B8" s="3">
        <f t="shared" si="2"/>
        <v>27</v>
      </c>
      <c r="C8">
        <f>(B8+A8)/2</f>
        <v>25</v>
      </c>
      <c r="D8" s="1">
        <v>43</v>
      </c>
      <c r="E8">
        <f t="shared" si="0"/>
        <v>0.13109756097560976</v>
      </c>
      <c r="F8">
        <f>E8/4</f>
        <v>3.277439024390244E-2</v>
      </c>
      <c r="G8">
        <f>SUM($E$3:E8)</f>
        <v>0.91463414634146334</v>
      </c>
      <c r="H8">
        <f>C8*C8</f>
        <v>625</v>
      </c>
    </row>
    <row r="9" spans="1:8" ht="15" thickBot="1" x14ac:dyDescent="0.35">
      <c r="A9" s="4">
        <v>27</v>
      </c>
      <c r="B9" s="5">
        <v>31</v>
      </c>
      <c r="C9">
        <f>(B9+A9)/2</f>
        <v>29</v>
      </c>
      <c r="D9" s="1">
        <v>28</v>
      </c>
      <c r="E9">
        <f t="shared" si="0"/>
        <v>8.5365853658536592E-2</v>
      </c>
      <c r="F9">
        <f>E9/4</f>
        <v>2.1341463414634148E-2</v>
      </c>
      <c r="G9">
        <f>SUM($E$3:E9)</f>
        <v>0.99999999999999989</v>
      </c>
      <c r="H9">
        <f>C9*C9</f>
        <v>841</v>
      </c>
    </row>
    <row r="10" spans="1:8" ht="15" thickBot="1" x14ac:dyDescent="0.35">
      <c r="A10" s="2" t="s">
        <v>0</v>
      </c>
      <c r="B10" s="9"/>
      <c r="C10" s="9"/>
      <c r="D10" s="9">
        <v>328</v>
      </c>
      <c r="E10" s="9">
        <f>SUM(E3:E9)</f>
        <v>0.99999999999999989</v>
      </c>
      <c r="F10" s="9"/>
      <c r="G10" s="7"/>
      <c r="H10" s="7"/>
    </row>
    <row r="11" spans="1:8" x14ac:dyDescent="0.3">
      <c r="A11" s="10" t="s">
        <v>17</v>
      </c>
      <c r="D11" s="11" t="s">
        <v>18</v>
      </c>
      <c r="E11" s="12"/>
      <c r="F11" s="12"/>
      <c r="G11" s="12"/>
      <c r="H11" s="12"/>
    </row>
    <row r="12" spans="1:8" x14ac:dyDescent="0.3">
      <c r="A12" t="s">
        <v>5</v>
      </c>
      <c r="B12">
        <f>SUMPRODUCT(D3:D9,C3:C9)</f>
        <v>5756</v>
      </c>
      <c r="D12" s="12" t="s">
        <v>14</v>
      </c>
      <c r="E12" s="12">
        <f>A5+4*(0.25-G4)/E5</f>
        <v>12.923076923076923</v>
      </c>
      <c r="F12" s="12"/>
      <c r="G12" s="12"/>
      <c r="H12" s="12"/>
    </row>
    <row r="13" spans="1:8" x14ac:dyDescent="0.3">
      <c r="A13" t="s">
        <v>6</v>
      </c>
      <c r="B13">
        <f>B12/D10</f>
        <v>17.548780487804876</v>
      </c>
      <c r="D13" s="12" t="s">
        <v>15</v>
      </c>
      <c r="E13" s="12">
        <f>A6+4*(0.5-G5)/E6</f>
        <v>17.588235294117649</v>
      </c>
      <c r="F13" s="12"/>
      <c r="G13" s="12"/>
      <c r="H13" s="12"/>
    </row>
    <row r="14" spans="1:8" x14ac:dyDescent="0.3">
      <c r="A14" t="s">
        <v>7</v>
      </c>
      <c r="B14">
        <f>SUMPRODUCT(H3:H9,D3:D9) - B12*B12/D10</f>
        <v>13933.219512195123</v>
      </c>
      <c r="D14" s="12" t="s">
        <v>16</v>
      </c>
      <c r="E14" s="12">
        <f>A7+4*(0.75-G6)/E7</f>
        <v>22.301587301587304</v>
      </c>
      <c r="F14" s="12"/>
      <c r="G14" s="12"/>
      <c r="H14" s="12"/>
    </row>
    <row r="15" spans="1:8" x14ac:dyDescent="0.3">
      <c r="A15" t="s">
        <v>11</v>
      </c>
      <c r="B15">
        <f>B14/327</f>
        <v>42.609233982248078</v>
      </c>
      <c r="D15" s="12" t="s">
        <v>19</v>
      </c>
      <c r="E15" s="12"/>
      <c r="F15" s="12"/>
      <c r="G15" s="12"/>
      <c r="H15" s="12"/>
    </row>
    <row r="16" spans="1:8" x14ac:dyDescent="0.3">
      <c r="A16" t="s">
        <v>12</v>
      </c>
      <c r="B16">
        <f>SQRT(B15)</f>
        <v>6.5275748928869497</v>
      </c>
      <c r="D16" s="12" t="s">
        <v>20</v>
      </c>
      <c r="E16" s="12"/>
      <c r="F16" s="12"/>
      <c r="G16" s="12"/>
      <c r="H16" s="12"/>
    </row>
    <row r="17" spans="1:8" x14ac:dyDescent="0.3">
      <c r="A17" t="s">
        <v>13</v>
      </c>
      <c r="B17">
        <f>100*B16/B13</f>
        <v>37.196743656478802</v>
      </c>
      <c r="D17" s="12" t="s">
        <v>21</v>
      </c>
      <c r="E17" s="12"/>
      <c r="F17" s="12"/>
      <c r="G17" s="12"/>
      <c r="H17" s="12"/>
    </row>
    <row r="18" spans="1:8" x14ac:dyDescent="0.3">
      <c r="D18" s="12" t="s">
        <v>22</v>
      </c>
      <c r="E18" s="12"/>
      <c r="F18" s="12"/>
      <c r="G18" s="12"/>
      <c r="H18" s="12"/>
    </row>
    <row r="19" spans="1:8" x14ac:dyDescent="0.3">
      <c r="D19" s="12" t="s">
        <v>23</v>
      </c>
      <c r="E19" s="12"/>
      <c r="F19" s="12"/>
      <c r="G19" s="12"/>
      <c r="H19" s="12"/>
    </row>
  </sheetData>
  <mergeCells count="1">
    <mergeCell ref="A2:B2"/>
  </mergeCells>
  <phoneticPr fontId="3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1077-4866-4095-B57A-5913E6CDAA4F}">
  <dimension ref="A1:B8"/>
  <sheetViews>
    <sheetView tabSelected="1" zoomScale="185" workbookViewId="0">
      <selection activeCell="M6" sqref="M6"/>
    </sheetView>
  </sheetViews>
  <sheetFormatPr defaultRowHeight="14.4" x14ac:dyDescent="0.3"/>
  <sheetData>
    <row r="1" spans="1:2" x14ac:dyDescent="0.3">
      <c r="A1" s="7"/>
      <c r="B1" s="7" t="s">
        <v>10</v>
      </c>
    </row>
    <row r="2" spans="1:2" x14ac:dyDescent="0.3">
      <c r="A2">
        <v>5</v>
      </c>
      <c r="B2">
        <v>1.676829268292683E-2</v>
      </c>
    </row>
    <row r="3" spans="1:2" x14ac:dyDescent="0.3">
      <c r="A3">
        <v>9</v>
      </c>
      <c r="B3">
        <v>2.6676829268292682E-2</v>
      </c>
    </row>
    <row r="4" spans="1:2" x14ac:dyDescent="0.3">
      <c r="A4">
        <v>13</v>
      </c>
      <c r="B4">
        <v>3.9634146341463415E-2</v>
      </c>
    </row>
    <row r="5" spans="1:2" x14ac:dyDescent="0.3">
      <c r="A5">
        <v>17</v>
      </c>
      <c r="B5">
        <v>6.4786585365853661E-2</v>
      </c>
    </row>
    <row r="6" spans="1:2" x14ac:dyDescent="0.3">
      <c r="A6">
        <v>21</v>
      </c>
      <c r="B6">
        <v>4.801829268292683E-2</v>
      </c>
    </row>
    <row r="7" spans="1:2" x14ac:dyDescent="0.3">
      <c r="A7">
        <v>25</v>
      </c>
      <c r="B7">
        <v>3.277439024390244E-2</v>
      </c>
    </row>
    <row r="8" spans="1:2" x14ac:dyDescent="0.3">
      <c r="A8">
        <v>29</v>
      </c>
      <c r="B8">
        <v>2.1341463414634148E-2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Rodrigo Panosso</dc:creator>
  <cp:lastModifiedBy>Alan Rodrigo Panosso</cp:lastModifiedBy>
  <dcterms:created xsi:type="dcterms:W3CDTF">2026-03-20T13:58:34Z</dcterms:created>
  <dcterms:modified xsi:type="dcterms:W3CDTF">2026-03-20T14:53:16Z</dcterms:modified>
</cp:coreProperties>
</file>